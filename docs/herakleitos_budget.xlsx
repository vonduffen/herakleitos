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Budg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$#,##0"/>
  </numFmts>
  <fonts count="12">
    <font>
      <name val="Calibri"/>
      <family val="2"/>
      <color theme="1"/>
      <sz val="11"/>
      <scheme val="minor"/>
    </font>
    <font>
      <name val="Arial"/>
      <b val="1"/>
      <color rgb="00141310"/>
      <sz val="14"/>
    </font>
    <font>
      <name val="Arial"/>
      <i val="1"/>
      <color rgb="00524D43"/>
      <sz val="9"/>
    </font>
    <font>
      <name val="Arial"/>
      <b val="1"/>
      <color rgb="00FFFFFF"/>
      <sz val="11"/>
    </font>
    <font>
      <name val="Arial"/>
      <color rgb="00141310"/>
      <sz val="10"/>
    </font>
    <font>
      <name val="Arial"/>
      <color rgb="000000FF"/>
      <sz val="10"/>
    </font>
    <font>
      <name val="Arial"/>
      <color rgb="00524D43"/>
      <sz val="9"/>
    </font>
    <font>
      <name val="Arial"/>
      <color rgb="00524D43"/>
      <sz val="8"/>
    </font>
    <font>
      <name val="Arial"/>
      <i val="1"/>
      <color rgb="00524D43"/>
      <sz val="8"/>
    </font>
    <font>
      <name val="Arial"/>
      <b val="1"/>
      <color rgb="00141310"/>
      <sz val="10"/>
    </font>
    <font>
      <name val="Arial"/>
      <color rgb="003F6F43"/>
      <sz val="10"/>
    </font>
    <font>
      <name val="Arial"/>
      <b val="1"/>
      <color rgb="00C8371F"/>
      <sz val="9"/>
    </font>
  </fonts>
  <fills count="7">
    <fill>
      <patternFill/>
    </fill>
    <fill>
      <patternFill patternType="gray125"/>
    </fill>
    <fill>
      <patternFill patternType="solid">
        <fgColor rgb="00141310"/>
      </patternFill>
    </fill>
    <fill>
      <patternFill patternType="solid">
        <fgColor rgb="00FFF6CC"/>
      </patternFill>
    </fill>
    <fill>
      <patternFill patternType="solid">
        <fgColor rgb="00DED9CC"/>
      </patternFill>
    </fill>
    <fill>
      <patternFill patternType="solid">
        <fgColor rgb="00C8371F"/>
      </patternFill>
    </fill>
    <fill>
      <patternFill patternType="solid">
        <fgColor rgb="00EAF2EA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4" fillId="0" borderId="0" pivotButton="0" quotePrefix="0" xfId="0"/>
    <xf numFmtId="164" fontId="5" fillId="3" borderId="1" pivotButton="0" quotePrefix="0" xfId="0"/>
    <xf numFmtId="0" fontId="6" fillId="0" borderId="0" pivotButton="0" quotePrefix="0" xfId="0"/>
    <xf numFmtId="0" fontId="7" fillId="0" borderId="0" pivotButton="0" quotePrefix="0" xfId="0"/>
    <xf numFmtId="3" fontId="5" fillId="3" borderId="1" pivotButton="0" quotePrefix="0" xfId="0"/>
    <xf numFmtId="9" fontId="5" fillId="3" borderId="1" pivotButton="0" quotePrefix="0" xfId="0"/>
    <xf numFmtId="0" fontId="3" fillId="2" borderId="0" applyAlignment="1" pivotButton="0" quotePrefix="0" xfId="0">
      <alignment horizontal="center"/>
    </xf>
    <xf numFmtId="3" fontId="5" fillId="3" borderId="1" applyAlignment="1" pivotButton="0" quotePrefix="0" xfId="0">
      <alignment horizontal="center"/>
    </xf>
    <xf numFmtId="9" fontId="5" fillId="3" borderId="1" applyAlignment="1" pivotButton="0" quotePrefix="0" xfId="0">
      <alignment horizontal="center"/>
    </xf>
    <xf numFmtId="3" fontId="2" fillId="0" borderId="0" applyAlignment="1" pivotButton="0" quotePrefix="0" xfId="0">
      <alignment horizontal="center"/>
    </xf>
    <xf numFmtId="0" fontId="8" fillId="0" borderId="0" pivotButton="0" quotePrefix="0" xfId="0"/>
    <xf numFmtId="0" fontId="9" fillId="4" borderId="0" pivotButton="0" quotePrefix="0" xfId="0"/>
    <xf numFmtId="0" fontId="0" fillId="4" borderId="0" pivotButton="0" quotePrefix="0" xfId="0"/>
    <xf numFmtId="165" fontId="4" fillId="0" borderId="0" pivotButton="0" quotePrefix="0" xfId="0"/>
    <xf numFmtId="0" fontId="9" fillId="0" borderId="0" pivotButton="0" quotePrefix="0" xfId="0"/>
    <xf numFmtId="165" fontId="9" fillId="0" borderId="0" pivotButton="0" quotePrefix="0" xfId="0"/>
    <xf numFmtId="0" fontId="3" fillId="5" borderId="0" pivotButton="0" quotePrefix="0" xfId="0"/>
    <xf numFmtId="165" fontId="3" fillId="5" borderId="0" pivotButton="0" quotePrefix="0" xfId="0"/>
    <xf numFmtId="165" fontId="10" fillId="0" borderId="0" pivotButton="0" quotePrefix="0" xfId="0"/>
    <xf numFmtId="0" fontId="9" fillId="6" borderId="0" pivotButton="0" quotePrefix="0" xfId="0"/>
    <xf numFmtId="165" fontId="9" fillId="6" borderId="0" pivotButton="0" quotePrefix="0" xfId="0"/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5" customWidth="1" min="3" max="3"/>
    <col width="16" customWidth="1" min="4" max="4"/>
    <col width="40" customWidth="1" min="5" max="5"/>
  </cols>
  <sheetData>
    <row r="1">
      <c r="A1" s="1" t="inlineStr">
        <is>
          <t>HERAKLEITOS — BUDGET ASSUMPTIONS</t>
        </is>
      </c>
    </row>
    <row r="2">
      <c r="A2" s="2" t="inlineStr">
        <is>
          <t>The next model: production pipeline + gate ablation. Prices verified 2026-07-22. Edit yellow cells.</t>
        </is>
      </c>
    </row>
    <row r="4">
      <c r="A4" s="3" t="inlineStr">
        <is>
          <t>UNIT PRICES</t>
        </is>
      </c>
      <c r="B4" s="4" t="n"/>
      <c r="C4" s="4" t="n"/>
      <c r="D4" s="4" t="n"/>
      <c r="E4" s="3" t="inlineStr">
        <is>
          <t>Source</t>
        </is>
      </c>
    </row>
    <row r="5">
      <c r="A5" s="5" t="inlineStr">
        <is>
          <t>DeepSeek-V3.1 — input</t>
        </is>
      </c>
      <c r="B5" s="6" t="n">
        <v>0.6</v>
      </c>
      <c r="C5" s="7" t="inlineStr">
        <is>
          <t>$/M tok</t>
        </is>
      </c>
      <c r="E5" s="8" t="inlineStr">
        <is>
          <t>Together AI, verified 2026-07-22</t>
        </is>
      </c>
    </row>
    <row r="6">
      <c r="A6" s="5" t="inlineStr">
        <is>
          <t>DeepSeek-V3.1 — output</t>
        </is>
      </c>
      <c r="B6" s="6" t="n">
        <v>1.7</v>
      </c>
      <c r="C6" s="7" t="inlineStr">
        <is>
          <t>$/M tok</t>
        </is>
      </c>
      <c r="E6" s="8" t="inlineStr">
        <is>
          <t>Together AI, verified 2026-07-22</t>
        </is>
      </c>
    </row>
    <row r="7">
      <c r="A7" s="5" t="inlineStr">
        <is>
          <t>Qwen3-235B — input</t>
        </is>
      </c>
      <c r="B7" s="6" t="n">
        <v>0.2</v>
      </c>
      <c r="C7" s="7" t="inlineStr">
        <is>
          <t>$/M tok</t>
        </is>
      </c>
      <c r="E7" s="8" t="inlineStr">
        <is>
          <t>Together AI, verified 2026-07-22</t>
        </is>
      </c>
    </row>
    <row r="8">
      <c r="A8" s="5" t="inlineStr">
        <is>
          <t>Qwen3-235B — output</t>
        </is>
      </c>
      <c r="B8" s="6" t="n">
        <v>0.6</v>
      </c>
      <c r="C8" s="7" t="inlineStr">
        <is>
          <t>$/M tok</t>
        </is>
      </c>
      <c r="E8" s="8" t="inlineStr">
        <is>
          <t>Together AI, verified 2026-07-22</t>
        </is>
      </c>
    </row>
    <row r="9">
      <c r="A9" s="5" t="inlineStr">
        <is>
          <t>Frontier judge — input (blended)</t>
        </is>
      </c>
      <c r="B9" s="6" t="n">
        <v>12</v>
      </c>
      <c r="C9" s="7" t="inlineStr">
        <is>
          <t>$/M tok</t>
        </is>
      </c>
      <c r="E9" s="8" t="inlineStr">
        <is>
          <t>Claude Opus + GPT-5 class, approx.</t>
        </is>
      </c>
    </row>
    <row r="10">
      <c r="A10" s="5" t="inlineStr">
        <is>
          <t>Frontier judge — output (blended)</t>
        </is>
      </c>
      <c r="B10" s="6" t="n">
        <v>50</v>
      </c>
      <c r="C10" s="7" t="inlineStr">
        <is>
          <t>$/M tok</t>
        </is>
      </c>
      <c r="E10" s="8" t="inlineStr">
        <is>
          <t>Claude Opus + GPT-5 class, approx.</t>
        </is>
      </c>
    </row>
    <row r="11">
      <c r="A11" s="5" t="inlineStr">
        <is>
          <t>H100 GPU rental</t>
        </is>
      </c>
      <c r="B11" s="6" t="n">
        <v>2.5</v>
      </c>
      <c r="C11" s="7" t="inlineStr">
        <is>
          <t>$/hr</t>
        </is>
      </c>
      <c r="E11" s="8" t="inlineStr">
        <is>
          <t>RunPod/Lambda on-demand, 2026 (spot ~$1.20)</t>
        </is>
      </c>
    </row>
    <row r="12">
      <c r="A12" s="5" t="inlineStr">
        <is>
          <t>Expert rater (classicist/philosopher)</t>
        </is>
      </c>
      <c r="B12" s="6" t="n">
        <v>100</v>
      </c>
      <c r="C12" s="7" t="inlineStr">
        <is>
          <t>$/hr</t>
        </is>
      </c>
      <c r="E12" s="8" t="inlineStr">
        <is>
          <t>estimate</t>
        </is>
      </c>
    </row>
    <row r="13">
      <c r="A13" s="5" t="inlineStr">
        <is>
          <t>Domain herakleitos.ai</t>
        </is>
      </c>
      <c r="B13" s="6" t="n">
        <v>75</v>
      </c>
      <c r="C13" s="7" t="inlineStr">
        <is>
          <t>$/yr</t>
        </is>
      </c>
      <c r="E13" s="8" t="inlineStr">
        <is>
          <t>.ai registrar, estimate</t>
        </is>
      </c>
    </row>
    <row r="15">
      <c r="A15" s="3" t="inlineStr">
        <is>
          <t>TOKEN SIZES (per call)</t>
        </is>
      </c>
      <c r="B15" s="4" t="n"/>
      <c r="C15" s="4" t="n"/>
      <c r="D15" s="4" t="n"/>
      <c r="E15" s="4" t="n"/>
    </row>
    <row r="16">
      <c r="A16" s="5" t="inlineStr">
        <is>
          <t>Teacher generation — input tokens</t>
        </is>
      </c>
      <c r="B16" s="9" t="n">
        <v>300</v>
      </c>
    </row>
    <row r="17">
      <c r="A17" s="5" t="inlineStr">
        <is>
          <t>Teacher generation — output tokens</t>
        </is>
      </c>
      <c r="B17" s="9" t="n">
        <v>400</v>
      </c>
    </row>
    <row r="18">
      <c r="A18" s="5" t="inlineStr">
        <is>
          <t>Judge rubric call — input tokens</t>
        </is>
      </c>
      <c r="B18" s="9" t="n">
        <v>700</v>
      </c>
    </row>
    <row r="19">
      <c r="A19" s="5" t="inlineStr">
        <is>
          <t>Judge rubric call — output tokens</t>
        </is>
      </c>
      <c r="B19" s="9" t="n">
        <v>150</v>
      </c>
    </row>
    <row r="20">
      <c r="A20" s="5" t="inlineStr">
        <is>
          <t>Runtime-grader score — input tokens</t>
        </is>
      </c>
      <c r="B20" s="9" t="n">
        <v>900</v>
      </c>
    </row>
    <row r="21">
      <c r="A21" s="5" t="inlineStr">
        <is>
          <t>Runtime-grader score — output tokens</t>
        </is>
      </c>
      <c r="B21" s="9" t="n">
        <v>200</v>
      </c>
    </row>
    <row r="22">
      <c r="A22" s="5" t="inlineStr">
        <is>
          <t>Frontier call — input tokens</t>
        </is>
      </c>
      <c r="B22" s="9" t="n">
        <v>1500</v>
      </c>
    </row>
    <row r="23">
      <c r="A23" s="5" t="inlineStr">
        <is>
          <t>Frontier call — output tokens</t>
        </is>
      </c>
      <c r="B23" s="9" t="n">
        <v>200</v>
      </c>
    </row>
    <row r="25">
      <c r="A25" s="3" t="inlineStr">
        <is>
          <t>CONTINGENCY</t>
        </is>
      </c>
      <c r="B25" s="4" t="n"/>
      <c r="C25" s="4" t="n"/>
      <c r="D25" s="4" t="n"/>
      <c r="E25" s="4" t="n"/>
    </row>
    <row r="26">
      <c r="A26" s="5" t="inlineStr">
        <is>
          <t>Contingency (retries, price drift, flywheel)</t>
        </is>
      </c>
      <c r="B26" s="10" t="n">
        <v>0.25</v>
      </c>
    </row>
    <row r="28">
      <c r="A28" s="3" t="inlineStr">
        <is>
          <t>PER-TIER VOLUMES</t>
        </is>
      </c>
      <c r="B28" s="11" t="inlineStr">
        <is>
          <t>Lean</t>
        </is>
      </c>
      <c r="C28" s="11" t="inlineStr">
        <is>
          <t>Recommended</t>
        </is>
      </c>
      <c r="D28" s="11" t="inlineStr">
        <is>
          <t>Comprehensive</t>
        </is>
      </c>
    </row>
    <row r="29">
      <c r="A29" s="5" t="inlineStr">
        <is>
          <t>Candidates generated</t>
        </is>
      </c>
      <c r="B29" s="12" t="n">
        <v>8000</v>
      </c>
      <c r="C29" s="12" t="n">
        <v>26000</v>
      </c>
      <c r="D29" s="12" t="n">
        <v>78000</v>
      </c>
    </row>
    <row r="30">
      <c r="A30" s="5" t="inlineStr">
        <is>
          <t>Gate rubric calls / candidate</t>
        </is>
      </c>
      <c r="B30" s="12" t="n">
        <v>3</v>
      </c>
      <c r="C30" s="12" t="n">
        <v>3</v>
      </c>
      <c r="D30" s="12" t="n">
        <v>3</v>
      </c>
    </row>
    <row r="31">
      <c r="A31" s="5" t="inlineStr">
        <is>
          <t>Target acceptance rate</t>
        </is>
      </c>
      <c r="B31" s="13" t="n">
        <v>0.79</v>
      </c>
      <c r="C31" s="13" t="n">
        <v>0.79</v>
      </c>
      <c r="D31" s="13" t="n">
        <v>0.79</v>
      </c>
    </row>
    <row r="32">
      <c r="A32" s="5" t="inlineStr">
        <is>
          <t>LoRA training runs</t>
        </is>
      </c>
      <c r="B32" s="12" t="n">
        <v>4</v>
      </c>
      <c r="C32" s="12" t="n">
        <v>6</v>
      </c>
      <c r="D32" s="12" t="n">
        <v>12</v>
      </c>
    </row>
    <row r="33">
      <c r="A33" s="5" t="inlineStr">
        <is>
          <t>GPU hrs / LoRA run  (0 = local Mac)</t>
        </is>
      </c>
      <c r="B33" s="12" t="n">
        <v>0</v>
      </c>
      <c r="C33" s="12" t="n">
        <v>4</v>
      </c>
      <c r="D33" s="12" t="n">
        <v>6</v>
      </c>
    </row>
    <row r="34">
      <c r="A34" s="5" t="inlineStr">
        <is>
          <t>Full fine-tune runs</t>
        </is>
      </c>
      <c r="B34" s="12" t="n">
        <v>0</v>
      </c>
      <c r="C34" s="12" t="n">
        <v>2</v>
      </c>
      <c r="D34" s="12" t="n">
        <v>4</v>
      </c>
    </row>
    <row r="35">
      <c r="A35" s="5" t="inlineStr">
        <is>
          <t>GPU hrs / full-FT run</t>
        </is>
      </c>
      <c r="B35" s="12" t="n">
        <v>0</v>
      </c>
      <c r="C35" s="12" t="n">
        <v>10</v>
      </c>
      <c r="D35" s="12" t="n">
        <v>14</v>
      </c>
    </row>
    <row r="36">
      <c r="A36" s="5" t="inlineStr">
        <is>
          <t>Frontier calibration calls</t>
        </is>
      </c>
      <c r="B36" s="12" t="n">
        <v>1200</v>
      </c>
      <c r="C36" s="12" t="n">
        <v>1200</v>
      </c>
      <c r="D36" s="12" t="n">
        <v>2400</v>
      </c>
    </row>
    <row r="37">
      <c r="A37" s="5" t="inlineStr">
        <is>
          <t>Frontier report-card calls</t>
        </is>
      </c>
      <c r="B37" s="12" t="n">
        <v>400</v>
      </c>
      <c r="C37" s="12" t="n">
        <v>1600</v>
      </c>
      <c r="D37" s="12" t="n">
        <v>3200</v>
      </c>
    </row>
    <row r="38">
      <c r="A38" s="5" t="inlineStr">
        <is>
          <t>Runtime-grader scoring calls</t>
        </is>
      </c>
      <c r="B38" s="12" t="n">
        <v>0</v>
      </c>
      <c r="C38" s="12" t="n">
        <v>26000</v>
      </c>
      <c r="D38" s="12" t="n">
        <v>78000</v>
      </c>
    </row>
    <row r="39">
      <c r="A39" s="5" t="inlineStr">
        <is>
          <t>Imitation regen (M tokens)</t>
        </is>
      </c>
      <c r="B39" s="12" t="n">
        <v>1</v>
      </c>
      <c r="C39" s="12" t="n">
        <v>2</v>
      </c>
      <c r="D39" s="12" t="n">
        <v>4</v>
      </c>
    </row>
    <row r="40">
      <c r="A40" s="5" t="inlineStr">
        <is>
          <t>Expert rater hours</t>
        </is>
      </c>
      <c r="B40" s="12" t="n">
        <v>0</v>
      </c>
      <c r="C40" s="12" t="n">
        <v>0</v>
      </c>
      <c r="D40" s="12" t="n">
        <v>40</v>
      </c>
    </row>
    <row r="41">
      <c r="A41" s="5" t="inlineStr">
        <is>
          <t>Domain years</t>
        </is>
      </c>
      <c r="B41" s="12" t="n">
        <v>1</v>
      </c>
      <c r="C41" s="12" t="n">
        <v>1</v>
      </c>
      <c r="D41" s="12" t="n">
        <v>1</v>
      </c>
    </row>
    <row r="42">
      <c r="A42" s="2" t="inlineStr">
        <is>
          <t>→ Accepted training examples (derived)</t>
        </is>
      </c>
      <c r="B42" s="14">
        <f>B29*B31</f>
        <v/>
      </c>
      <c r="C42" s="14">
        <f>C29*C31</f>
        <v/>
      </c>
      <c r="D42" s="14">
        <f>D29*D31</f>
        <v/>
      </c>
    </row>
    <row r="44">
      <c r="A44" s="15" t="inlineStr">
        <is>
          <t>Yellow = editable lever. Blue = hardcoded input. Change any and the Budget tab recomputes.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3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6" customWidth="1" min="3" max="3"/>
    <col width="17" customWidth="1" min="4" max="4"/>
  </cols>
  <sheetData>
    <row r="1">
      <c r="A1" s="1" t="inlineStr">
        <is>
          <t>HERAKLEITOS — BUDGET, THE NEXT MODEL</t>
        </is>
      </c>
    </row>
    <row r="2">
      <c r="A2" s="2" t="inlineStr">
        <is>
          <t>Three scope tiers. All figures computed from the Assumptions tab.</t>
        </is>
      </c>
    </row>
    <row r="4">
      <c r="A4" s="3" t="inlineStr">
        <is>
          <t>LINE ITEM</t>
        </is>
      </c>
      <c r="B4" s="11" t="inlineStr">
        <is>
          <t>Lean</t>
        </is>
      </c>
      <c r="C4" s="11" t="inlineStr">
        <is>
          <t>Recommended</t>
        </is>
      </c>
      <c r="D4" s="11" t="inlineStr">
        <is>
          <t>Comprehensive</t>
        </is>
      </c>
    </row>
    <row r="6">
      <c r="A6" s="16" t="inlineStr">
        <is>
          <t>PHASE 2 — DATA GENERATION (open-weights, Together)</t>
        </is>
      </c>
      <c r="B6" s="17" t="n"/>
      <c r="C6" s="17" t="n"/>
      <c r="D6" s="17" t="n"/>
    </row>
    <row r="7">
      <c r="A7" s="5" t="inlineStr">
        <is>
          <t xml:space="preserve">   Teacher generation (DeepSeek-V3.1)</t>
        </is>
      </c>
      <c r="B7" s="18">
        <f>Assumptions!$B$29*(Assumptions!$B$16*Assumptions!$B$5+Assumptions!$B$17*Assumptions!$B$6)/1000000</f>
        <v/>
      </c>
      <c r="C7" s="18">
        <f>Assumptions!$C$29*(Assumptions!$B$16*Assumptions!$B$5+Assumptions!$B$17*Assumptions!$B$6)/1000000</f>
        <v/>
      </c>
      <c r="D7" s="18">
        <f>Assumptions!$D$29*(Assumptions!$B$16*Assumptions!$B$5+Assumptions!$B$17*Assumptions!$B$6)/1000000</f>
        <v/>
      </c>
    </row>
    <row r="8">
      <c r="A8" s="5" t="inlineStr">
        <is>
          <t xml:space="preserve">   Eval-gate judging (Qwen3-235B × rubrics)</t>
        </is>
      </c>
      <c r="B8" s="18">
        <f>Assumptions!$B$29*Assumptions!$B$30*(Assumptions!$B$18*Assumptions!$B$7+Assumptions!$B$19*Assumptions!$B$8)/1000000</f>
        <v/>
      </c>
      <c r="C8" s="18">
        <f>Assumptions!$C$29*Assumptions!$C$30*(Assumptions!$B$18*Assumptions!$B$7+Assumptions!$B$19*Assumptions!$B$8)/1000000</f>
        <v/>
      </c>
      <c r="D8" s="18">
        <f>Assumptions!$D$29*Assumptions!$D$30*(Assumptions!$B$18*Assumptions!$B$7+Assumptions!$B$19*Assumptions!$B$8)/1000000</f>
        <v/>
      </c>
    </row>
    <row r="9">
      <c r="A9" s="5" t="inlineStr">
        <is>
          <t xml:space="preserve">   Imitation-tier regeneration</t>
        </is>
      </c>
      <c r="B9" s="18">
        <f>Assumptions!$B$39*((Assumptions!$B$5+Assumptions!$B$6)/2)</f>
        <v/>
      </c>
      <c r="C9" s="18">
        <f>Assumptions!$C$39*((Assumptions!$B$5+Assumptions!$B$6)/2)</f>
        <v/>
      </c>
      <c r="D9" s="18">
        <f>Assumptions!$D$39*((Assumptions!$B$5+Assumptions!$B$6)/2)</f>
        <v/>
      </c>
    </row>
    <row r="10">
      <c r="A10" s="5" t="inlineStr">
        <is>
          <t xml:space="preserve">   Runtime-grader scoring data</t>
        </is>
      </c>
      <c r="B10" s="18">
        <f>Assumptions!$B$38*(Assumptions!$B$20*Assumptions!$B$7+Assumptions!$B$21*Assumptions!$B$8)/1000000</f>
        <v/>
      </c>
      <c r="C10" s="18">
        <f>Assumptions!$C$38*(Assumptions!$B$20*Assumptions!$B$7+Assumptions!$B$21*Assumptions!$B$8)/1000000</f>
        <v/>
      </c>
      <c r="D10" s="18">
        <f>Assumptions!$D$38*(Assumptions!$B$20*Assumptions!$B$7+Assumptions!$B$21*Assumptions!$B$8)/1000000</f>
        <v/>
      </c>
    </row>
    <row r="12">
      <c r="A12" s="16" t="inlineStr">
        <is>
          <t>PHASE 3 — TRAINING (the gate ablation)</t>
        </is>
      </c>
      <c r="B12" s="17" t="n"/>
      <c r="C12" s="17" t="n"/>
      <c r="D12" s="17" t="n"/>
    </row>
    <row r="13">
      <c r="A13" s="5" t="inlineStr">
        <is>
          <t xml:space="preserve">   LoRA runs (filtered vs unfiltered × seeds)</t>
        </is>
      </c>
      <c r="B13" s="18">
        <f>Assumptions!$B$32*Assumptions!$B$33*Assumptions!$B$11</f>
        <v/>
      </c>
      <c r="C13" s="18">
        <f>Assumptions!$C$32*Assumptions!$C$33*Assumptions!$B$11</f>
        <v/>
      </c>
      <c r="D13" s="18">
        <f>Assumptions!$D$32*Assumptions!$D$33*Assumptions!$B$11</f>
        <v/>
      </c>
    </row>
    <row r="14">
      <c r="A14" s="5" t="inlineStr">
        <is>
          <t xml:space="preserve">   Full fine-tune confirmation runs</t>
        </is>
      </c>
      <c r="B14" s="18">
        <f>Assumptions!$B$34*Assumptions!$B$35*Assumptions!$B$11</f>
        <v/>
      </c>
      <c r="C14" s="18">
        <f>Assumptions!$C$34*Assumptions!$C$35*Assumptions!$B$11</f>
        <v/>
      </c>
      <c r="D14" s="18">
        <f>Assumptions!$D$34*Assumptions!$D$35*Assumptions!$B$11</f>
        <v/>
      </c>
    </row>
    <row r="16">
      <c r="A16" s="16" t="inlineStr">
        <is>
          <t>PHASE 1 — FRONTIER EVALUATION (offline grading only)</t>
        </is>
      </c>
      <c r="B16" s="17" t="n"/>
      <c r="C16" s="17" t="n"/>
      <c r="D16" s="17" t="n"/>
    </row>
    <row r="17">
      <c r="A17" s="5" t="inlineStr">
        <is>
          <t xml:space="preserve">   Cross-judge calibration (2 providers)</t>
        </is>
      </c>
      <c r="B17" s="18">
        <f>Assumptions!$B$36*(Assumptions!$B$22*Assumptions!$B$9+Assumptions!$B$23*Assumptions!$B$10)/1000000</f>
        <v/>
      </c>
      <c r="C17" s="18">
        <f>Assumptions!$C$36*(Assumptions!$B$22*Assumptions!$B$9+Assumptions!$B$23*Assumptions!$B$10)/1000000</f>
        <v/>
      </c>
      <c r="D17" s="18">
        <f>Assumptions!$D$36*(Assumptions!$B$22*Assumptions!$B$9+Assumptions!$B$23*Assumptions!$B$10)/1000000</f>
        <v/>
      </c>
    </row>
    <row r="18">
      <c r="A18" s="5" t="inlineStr">
        <is>
          <t xml:space="preserve">   Report cards across ablation arms</t>
        </is>
      </c>
      <c r="B18" s="18">
        <f>Assumptions!$B$37*(Assumptions!$B$22*Assumptions!$B$9+Assumptions!$B$23*Assumptions!$B$10)/1000000</f>
        <v/>
      </c>
      <c r="C18" s="18">
        <f>Assumptions!$C$37*(Assumptions!$B$22*Assumptions!$B$9+Assumptions!$B$23*Assumptions!$B$10)/1000000</f>
        <v/>
      </c>
      <c r="D18" s="18">
        <f>Assumptions!$D$37*(Assumptions!$B$22*Assumptions!$B$9+Assumptions!$B$23*Assumptions!$B$10)/1000000</f>
        <v/>
      </c>
    </row>
    <row r="20">
      <c r="A20" s="16" t="inlineStr">
        <is>
          <t>VALIDATION &amp; MISC</t>
        </is>
      </c>
      <c r="B20" s="17" t="n"/>
      <c r="C20" s="17" t="n"/>
      <c r="D20" s="17" t="n"/>
    </row>
    <row r="21">
      <c r="A21" s="5" t="inlineStr">
        <is>
          <t xml:space="preserve">   Expert human raters (judge↔human agreement)</t>
        </is>
      </c>
      <c r="B21" s="18">
        <f>Assumptions!$B$40*Assumptions!$B$12</f>
        <v/>
      </c>
      <c r="C21" s="18">
        <f>Assumptions!$C$40*Assumptions!$B$12</f>
        <v/>
      </c>
      <c r="D21" s="18">
        <f>Assumptions!$D$40*Assumptions!$B$12</f>
        <v/>
      </c>
    </row>
    <row r="22">
      <c r="A22" s="5" t="inlineStr">
        <is>
          <t xml:space="preserve">   Domain (herakleitos.ai)</t>
        </is>
      </c>
      <c r="B22" s="18">
        <f>Assumptions!$B$41*Assumptions!$B$13</f>
        <v/>
      </c>
      <c r="C22" s="18">
        <f>Assumptions!$C$41*Assumptions!$B$13</f>
        <v/>
      </c>
      <c r="D22" s="18">
        <f>Assumptions!$D$41*Assumptions!$B$13</f>
        <v/>
      </c>
    </row>
    <row r="24">
      <c r="A24" s="19" t="inlineStr">
        <is>
          <t>SUBTOTAL</t>
        </is>
      </c>
      <c r="B24" s="20">
        <f>B7+B8+B9+B10+B13+B14+B17+B18+B21+B22</f>
        <v/>
      </c>
      <c r="C24" s="20">
        <f>C7+C8+C9+C10+C13+C14+C17+C18+C21+C22</f>
        <v/>
      </c>
      <c r="D24" s="20">
        <f>D7+D8+D9+D10+D13+D14+D17+D18+D21+D22</f>
        <v/>
      </c>
    </row>
    <row r="25">
      <c r="A25" s="5" t="inlineStr">
        <is>
          <t>Contingency</t>
        </is>
      </c>
      <c r="B25" s="18">
        <f>B24*Assumptions!$B$26</f>
        <v/>
      </c>
      <c r="C25" s="18">
        <f>C24*Assumptions!$B$26</f>
        <v/>
      </c>
      <c r="D25" s="18">
        <f>D24*Assumptions!$B$26</f>
        <v/>
      </c>
    </row>
    <row r="26">
      <c r="A26" s="21" t="inlineStr">
        <is>
          <t>TOTAL (cash, no credits)</t>
        </is>
      </c>
      <c r="B26" s="22">
        <f>B24+B25</f>
        <v/>
      </c>
      <c r="C26" s="22">
        <f>C24+C25</f>
        <v/>
      </c>
      <c r="D26" s="22">
        <f>D24+D25</f>
        <v/>
      </c>
    </row>
    <row r="28">
      <c r="A28" s="16" t="inlineStr">
        <is>
          <t>POTENTIAL FUNDING OFFSETS  (if credits awarded — see MODELS.md / application kit)</t>
        </is>
      </c>
      <c r="B28" s="17" t="n"/>
      <c r="C28" s="17" t="n"/>
      <c r="D28" s="17" t="n"/>
    </row>
    <row r="29">
      <c r="A29" s="5" t="inlineStr">
        <is>
          <t xml:space="preserve">   Together research credits (API, cap $500)</t>
        </is>
      </c>
      <c r="B29" s="23">
        <f>-MIN(B7+B8+B9+B10,500)</f>
        <v/>
      </c>
      <c r="C29" s="23">
        <f>-MIN(C7+C8+C9+C10,500)</f>
        <v/>
      </c>
      <c r="D29" s="23">
        <f>-MIN(D7+D8+D9+D10,500)</f>
        <v/>
      </c>
    </row>
    <row r="30">
      <c r="A30" s="5" t="inlineStr">
        <is>
          <t xml:space="preserve">   OpenAI/Anthropic researcher credits (frontier)</t>
        </is>
      </c>
      <c r="B30" s="23">
        <f>-MIN(B17+B18,1000)</f>
        <v/>
      </c>
      <c r="C30" s="23">
        <f>-MIN(C17+C18,1000)</f>
        <v/>
      </c>
      <c r="D30" s="23">
        <f>-MIN(D17+D18,1000)</f>
        <v/>
      </c>
    </row>
    <row r="31">
      <c r="A31" s="5" t="inlineStr">
        <is>
          <t xml:space="preserve">   TPU Research Cloud / spot GPU (training)</t>
        </is>
      </c>
      <c r="B31" s="23">
        <f>-B13+B14</f>
        <v/>
      </c>
      <c r="C31" s="23">
        <f>-C13+C14</f>
        <v/>
      </c>
      <c r="D31" s="23">
        <f>-D13+D14</f>
        <v/>
      </c>
    </row>
    <row r="32">
      <c r="A32" s="24" t="inlineStr">
        <is>
          <t>NET CASH (best case, all credits awarded)</t>
        </is>
      </c>
      <c r="B32" s="25">
        <f>B26+B29+B30+B31</f>
        <v/>
      </c>
      <c r="C32" s="25">
        <f>C26+C29+C30+C31</f>
        <v/>
      </c>
      <c r="D32" s="25">
        <f>D26+D29+D30+D31</f>
        <v/>
      </c>
    </row>
    <row r="34">
      <c r="A34" s="26" t="inlineStr">
        <is>
          <t>WHAT EACH TIER BUYS</t>
        </is>
      </c>
    </row>
    <row r="35">
      <c r="A35" s="2" t="inlineStr">
        <is>
          <t>Lean (~prove the ablation): 8k candidates, student trained LOCALLY on the Mac (LoRA, $0 GPU),</t>
        </is>
      </c>
    </row>
    <row r="36">
      <c r="A36" s="2" t="inlineStr">
        <is>
          <t xml:space="preserve">   calibration + a light frontier pass. Nearly free if you already own the domain.</t>
        </is>
      </c>
    </row>
    <row r="37">
      <c r="A37" s="2" t="inlineStr">
        <is>
          <t>Recommended (workshop-paper grade): production 26k→~20k dataset, 7-8B student, the full</t>
        </is>
      </c>
    </row>
    <row r="38">
      <c r="A38" s="2" t="inlineStr">
        <is>
          <t xml:space="preserve">   filtered-vs-unfiltered ablation across seeds, frontier calibration + report cards on every arm.</t>
        </is>
      </c>
    </row>
    <row r="39">
      <c r="A39" s="2" t="inlineStr">
        <is>
          <t>Comprehensive (conference grade): 3 flywheel generations + expert human raters validating that</t>
        </is>
      </c>
    </row>
    <row r="40">
      <c r="A40" s="2" t="inlineStr">
        <is>
          <t xml:space="preserve">   the judge tracks human judgment + a classicist verifying the corpus. Raters are the big line.</t>
        </is>
      </c>
    </row>
    <row r="41">
      <c r="A41" s="2" t="inlineStr"/>
    </row>
    <row r="42">
      <c r="A42" s="26" t="inlineStr">
        <is>
          <t>The claim that makes this a contribution: 'the gate — not raw distillation — transmits the style.'</t>
        </is>
      </c>
    </row>
    <row r="43">
      <c r="A43" s="2" t="inlineStr">
        <is>
          <t>That is the filtered-vs-unfiltered arm. Spend the money there before spending it on a bigger model.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2026-07-23T03:56:12Z</dcterms:created>
  <dcterms:modified xsi:type="dcterms:W3CDTF">2026-07-23T03:56:12Z</dcterms:modified>
</cp:coreProperties>
</file>